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Servet\Desktop\"/>
    </mc:Choice>
  </mc:AlternateContent>
  <xr:revisionPtr revIDLastSave="0" documentId="8_{8689CFEE-388C-4E33-8D1B-DF0CBD6B9548}" xr6:coauthVersionLast="47" xr6:coauthVersionMax="47" xr10:uidLastSave="{00000000-0000-0000-0000-000000000000}"/>
  <bookViews>
    <workbookView xWindow="-120" yWindow="-120" windowWidth="20730" windowHeight="11160" firstSheet="1" activeTab="2" xr2:uid="{EA484250-B2C1-426F-ADF9-6BA18F451CEE}"/>
  </bookViews>
  <sheets>
    <sheet name="Pivot_Musteri" sheetId="3" r:id="rId1"/>
    <sheet name="Pivot_Kategori" sheetId="4" r:id="rId2"/>
    <sheet name="Fatura_Takip_Dashboard.xlsx" sheetId="5" r:id="rId3"/>
    <sheet name="Fatura_Takip" sheetId="1" r:id="rId4"/>
    <sheet name="Müşteri_Bilgileri" sheetId="2" r:id="rId5"/>
  </sheets>
  <definedNames>
    <definedName name="Slicer_Odeme_Durumu">#N/A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1" l="1"/>
  <c r="K3" i="1"/>
  <c r="K4" i="1"/>
  <c r="K5" i="1"/>
  <c r="K6" i="1"/>
  <c r="K7" i="1"/>
  <c r="C7" i="5"/>
  <c r="N5" i="1"/>
  <c r="J2" i="1"/>
  <c r="J3" i="1"/>
  <c r="J4" i="1"/>
  <c r="J5" i="1"/>
  <c r="J6" i="1"/>
  <c r="J7" i="1"/>
  <c r="G2" i="1"/>
  <c r="G3" i="1"/>
  <c r="G4" i="1"/>
  <c r="G5" i="1"/>
  <c r="G6" i="1"/>
  <c r="G7" i="1"/>
  <c r="D7" i="5" l="1"/>
  <c r="C5" i="5"/>
  <c r="B5" i="5"/>
  <c r="L5" i="1"/>
  <c r="A7" i="5"/>
  <c r="P2" i="1"/>
  <c r="P5" i="1"/>
  <c r="A5" i="5"/>
  <c r="B7" i="5"/>
  <c r="N2" i="1"/>
  <c r="L2" i="1"/>
  <c r="M5" i="1"/>
</calcChain>
</file>

<file path=xl/sharedStrings.xml><?xml version="1.0" encoding="utf-8"?>
<sst xmlns="http://schemas.openxmlformats.org/spreadsheetml/2006/main" count="89" uniqueCount="52">
  <si>
    <t>Fatura_ID</t>
  </si>
  <si>
    <t>Fatura_Tarihi</t>
  </si>
  <si>
    <t>Müşteri</t>
  </si>
  <si>
    <t>Kategori</t>
  </si>
  <si>
    <t>Adet</t>
  </si>
  <si>
    <t>Birim_Fiyat</t>
  </si>
  <si>
    <t>Toplam_Tutar</t>
  </si>
  <si>
    <t>Son_Odeme_Tarihi</t>
  </si>
  <si>
    <t>Odeme_Durumu</t>
  </si>
  <si>
    <t>Atlas Ltd</t>
  </si>
  <si>
    <t>Ofis</t>
  </si>
  <si>
    <t>Ödendi</t>
  </si>
  <si>
    <t>INV-1002</t>
  </si>
  <si>
    <t>Mavi AŞ</t>
  </si>
  <si>
    <t>Yazılım</t>
  </si>
  <si>
    <t>Bekliyor</t>
  </si>
  <si>
    <t>INV-1003</t>
  </si>
  <si>
    <t>Nova Ltd</t>
  </si>
  <si>
    <t>Lojistik</t>
  </si>
  <si>
    <t>INV-1004</t>
  </si>
  <si>
    <t>Deniz AŞ</t>
  </si>
  <si>
    <t>Danışmanlık</t>
  </si>
  <si>
    <t>INV-1005</t>
  </si>
  <si>
    <t>INV-1006</t>
  </si>
  <si>
    <t>Eksen Ltd</t>
  </si>
  <si>
    <t>Bakım</t>
  </si>
  <si>
    <t>INV-1001</t>
  </si>
  <si>
    <t>20.08.2026</t>
  </si>
  <si>
    <t>22.08.2026</t>
  </si>
  <si>
    <t>24.08.2026</t>
  </si>
  <si>
    <t>25.08.2026</t>
  </si>
  <si>
    <t>27.08.2026</t>
  </si>
  <si>
    <t>28.08.2026</t>
  </si>
  <si>
    <t>Toplam Fatura Tutarı</t>
  </si>
  <si>
    <t>Ödenen Tutar</t>
  </si>
  <si>
    <t>Bekleyen Tutar</t>
  </si>
  <si>
    <t>Gecikmiş Fatura Sayısı</t>
  </si>
  <si>
    <t>Gecikmiş Tutar</t>
  </si>
  <si>
    <t>Ortalama Fatura Tutarı</t>
  </si>
  <si>
    <t>Tahsilat Oranı</t>
  </si>
  <si>
    <t>Şehir</t>
  </si>
  <si>
    <t>Vade_Günü</t>
  </si>
  <si>
    <t>İstanbul</t>
  </si>
  <si>
    <t>Ankara</t>
  </si>
  <si>
    <t>İzmir</t>
  </si>
  <si>
    <t>Bursa</t>
  </si>
  <si>
    <t>Takip_Durumu</t>
  </si>
  <si>
    <t>Row Labels</t>
  </si>
  <si>
    <t>Grand Total</t>
  </si>
  <si>
    <t>Column Labels</t>
  </si>
  <si>
    <t>Sum of Toplam_Tutar</t>
  </si>
  <si>
    <t>Fatura Takip Dashboardu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</si>
</sst>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0"/>
  </numFmts>
  <fonts count="7" x14ac:knownFonts="1">
    <font>
      <sz val="11"/>
      <color theme="1"/>
      <name val="Aptos Narrow"/>
      <family val="2"/>
      <charset val="162"/>
      <scheme val="minor"/>
    </font>
    <font>
      <sz val="11"/>
      <color theme="1"/>
      <name val="Aptos Narrow"/>
      <family val="2"/>
      <charset val="162"/>
      <scheme val="minor"/>
    </font>
    <font>
      <b/>
      <sz val="11"/>
      <color theme="1"/>
      <name val="Aptos Narrow"/>
      <family val="2"/>
      <charset val="162"/>
      <scheme val="minor"/>
    </font>
    <font>
      <b/>
      <sz val="11"/>
      <color theme="0"/>
      <name val="Aptos Narrow"/>
      <family val="2"/>
      <scheme val="minor"/>
    </font>
    <font>
      <b/>
      <sz val="16"/>
      <color theme="1"/>
      <name val="Aptos Narrow"/>
      <family val="2"/>
      <scheme val="minor"/>
    </font>
    <font>
      <b/>
      <sz val="11"/>
      <color theme="1"/>
      <name val="Aptos Narrow"/>
      <family val="2"/>
      <scheme val="minor"/>
    </font>
    <font>
      <b/>
      <sz val="18"/>
      <color theme="0"/>
      <name val="Aptos Narrow"/>
      <family val="2"/>
      <scheme val="minor"/>
    </font>
  </fonts>
  <fills count="5">
    <fill>
      <patternFill patternType="none"/>
    </fill>
    <fill>
      <patternFill patternType="gray125"/>
    </fill>
    <fill>
      <patternFill patternType="solid">
        <fgColor theme="3" tint="0.249977111117893"/>
        <bgColor indexed="64"/>
      </patternFill>
    </fill>
    <fill>
      <patternFill patternType="solid">
        <fgColor theme="3" tint="0.749992370372631"/>
        <bgColor indexed="64"/>
      </patternFill>
    </fill>
    <fill>
      <patternFill patternType="solid">
        <fgColor theme="3" tint="0.499984740745262"/>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applyAlignment="1">
      <alignment vertical="center" wrapText="1"/>
    </xf>
    <xf numFmtId="14" fontId="0" fillId="0" borderId="0" xfId="0" applyNumberFormat="1"/>
    <xf numFmtId="0" fontId="2" fillId="0" borderId="0" xfId="0" applyFont="1" applyAlignment="1">
      <alignment horizontal="center" vertical="center" wrapText="1"/>
    </xf>
    <xf numFmtId="164" fontId="0" fillId="0" borderId="0" xfId="0" applyNumberFormat="1"/>
    <xf numFmtId="0" fontId="3" fillId="2" borderId="1" xfId="0" applyFont="1" applyFill="1" applyBorder="1" applyAlignment="1">
      <alignment horizontal="center"/>
    </xf>
    <xf numFmtId="164" fontId="4" fillId="3" borderId="2" xfId="0" applyNumberFormat="1" applyFont="1" applyFill="1" applyBorder="1" applyAlignment="1">
      <alignment horizontal="center"/>
    </xf>
    <xf numFmtId="164" fontId="4" fillId="3" borderId="2" xfId="0" applyNumberFormat="1" applyFont="1" applyFill="1" applyBorder="1"/>
    <xf numFmtId="2" fontId="4" fillId="3" borderId="2" xfId="0" applyNumberFormat="1" applyFont="1" applyFill="1" applyBorder="1"/>
    <xf numFmtId="0" fontId="0" fillId="0" borderId="0" xfId="0" applyAlignment="1">
      <alignment horizontal="right" vertical="center" wrapText="1"/>
    </xf>
    <xf numFmtId="0" fontId="5" fillId="0" borderId="3" xfId="0" applyFont="1" applyBorder="1" applyAlignment="1">
      <alignment horizontal="center" vertical="center"/>
    </xf>
    <xf numFmtId="10" fontId="4" fillId="3" borderId="2" xfId="1" applyNumberFormat="1" applyFont="1" applyFill="1" applyBorder="1"/>
    <xf numFmtId="0" fontId="0" fillId="0" borderId="0" xfId="0" pivotButton="1"/>
    <xf numFmtId="0" fontId="0" fillId="0" borderId="0" xfId="0" applyAlignment="1">
      <alignment horizontal="left"/>
    </xf>
    <xf numFmtId="165" fontId="4" fillId="3" borderId="2" xfId="0" applyNumberFormat="1" applyFont="1" applyFill="1" applyBorder="1" applyAlignment="1">
      <alignment horizontal="center"/>
    </xf>
    <xf numFmtId="165" fontId="4" fillId="3" borderId="2" xfId="0" applyNumberFormat="1" applyFont="1" applyFill="1" applyBorder="1"/>
    <xf numFmtId="1" fontId="4" fillId="3" borderId="2" xfId="0" applyNumberFormat="1" applyFont="1" applyFill="1" applyBorder="1"/>
    <xf numFmtId="0" fontId="6" fillId="4" borderId="0" xfId="0" applyFont="1" applyFill="1" applyAlignment="1">
      <alignment horizontal="center" vertical="center"/>
    </xf>
  </cellXfs>
  <cellStyles count="2">
    <cellStyle name="Normal" xfId="0" builtinId="0"/>
    <cellStyle name="Percent" xfId="1" builtinId="5"/>
  </cellStyles>
  <dxfs count="1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[Fatura_Takip_Dashboard.xlsxs.xlsx]Pivot_Musteri!PivotTable1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Müşteri</a:t>
            </a:r>
            <a:r>
              <a:rPr lang="en-US" baseline="0"/>
              <a:t> Bazında Ödeme Durumu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Pivot_Musteri!$B$3:$B$4</c:f>
              <c:strCache>
                <c:ptCount val="1"/>
                <c:pt idx="0">
                  <c:v>Bekliyor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Pivot_Musteri!$A$5:$A$9</c:f>
              <c:strCache>
                <c:ptCount val="4"/>
                <c:pt idx="0">
                  <c:v>Deniz AŞ</c:v>
                </c:pt>
                <c:pt idx="1">
                  <c:v>Eksen Ltd</c:v>
                </c:pt>
                <c:pt idx="2">
                  <c:v>Mavi AŞ</c:v>
                </c:pt>
                <c:pt idx="3">
                  <c:v>Nova Ltd</c:v>
                </c:pt>
              </c:strCache>
            </c:strRef>
          </c:cat>
          <c:val>
            <c:numRef>
              <c:f>Pivot_Musteri!$B$5:$B$9</c:f>
              <c:numCache>
                <c:formatCode>"₺"#,##0.00</c:formatCode>
                <c:ptCount val="4"/>
                <c:pt idx="0">
                  <c:v>9000</c:v>
                </c:pt>
                <c:pt idx="1">
                  <c:v>5000</c:v>
                </c:pt>
                <c:pt idx="2">
                  <c:v>9000</c:v>
                </c:pt>
                <c:pt idx="3">
                  <c:v>4000</c:v>
                </c:pt>
              </c:numCache>
            </c:numRef>
          </c:val>
          <c:extLst>
            <c:ext xmlns:c16="http://schemas.microsoft.com/office/drawing/2014/chart" uri="{C3380CC4-5D6E-409C-BE32-E72D297353CC}">
              <c16:uniqueId val="{00000000-5FFB-4053-8E16-97C5FA5CFB8E}"/>
            </c:ext>
          </c:extLst>
        </c:ser>
        <c:dLbls>
          <c:dLblPos val="outEnd"/>
          <c:showLegendKey val="0"/>
          <c:showVal val="1"/>
          <c:showCatName val="0"/>
          <c:showSerName val="0"/>
          <c:showPercent val="0"/>
          <c:showBubbleSize val="0"/>
        </c:dLbls>
        <c:gapWidth val="219"/>
        <c:overlap val="-27"/>
        <c:axId val="1553563439"/>
        <c:axId val="1234232191"/>
      </c:barChart>
      <c:catAx>
        <c:axId val="1553563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232191"/>
        <c:crosses val="autoZero"/>
        <c:auto val="1"/>
        <c:lblAlgn val="ctr"/>
        <c:lblOffset val="100"/>
        <c:noMultiLvlLbl val="0"/>
      </c:catAx>
      <c:valAx>
        <c:axId val="1234232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63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[Fatura_Takip_Dashboard.xlsxs.xlsx]Pivot_Kategori!PivotTable2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Kategori</a:t>
            </a:r>
            <a:r>
              <a:rPr lang="en-US" baseline="0"/>
              <a:t> Bazında Ödeme Durumu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Pivot_Kategori!$B$3:$B$4</c:f>
              <c:strCache>
                <c:ptCount val="1"/>
                <c:pt idx="0">
                  <c:v>Bekliyor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Pivot_Kategori!$A$5:$A$9</c:f>
              <c:strCache>
                <c:ptCount val="4"/>
                <c:pt idx="0">
                  <c:v>Bakım</c:v>
                </c:pt>
                <c:pt idx="1">
                  <c:v>Danışmanlık</c:v>
                </c:pt>
                <c:pt idx="2">
                  <c:v>Lojistik</c:v>
                </c:pt>
                <c:pt idx="3">
                  <c:v>Yazılım</c:v>
                </c:pt>
              </c:strCache>
            </c:strRef>
          </c:cat>
          <c:val>
            <c:numRef>
              <c:f>Pivot_Kategori!$B$5:$B$9</c:f>
              <c:numCache>
                <c:formatCode>"₺"#,##0.00</c:formatCode>
                <c:ptCount val="4"/>
                <c:pt idx="0">
                  <c:v>5000</c:v>
                </c:pt>
                <c:pt idx="1">
                  <c:v>9000</c:v>
                </c:pt>
                <c:pt idx="2">
                  <c:v>4000</c:v>
                </c:pt>
                <c:pt idx="3">
                  <c:v>9000</c:v>
                </c:pt>
              </c:numCache>
            </c:numRef>
          </c:val>
          <c:extLst>
            <c:ext xmlns:c16="http://schemas.microsoft.com/office/drawing/2014/chart" uri="{C3380CC4-5D6E-409C-BE32-E72D297353CC}">
              <c16:uniqueId val="{00000000-88B3-4BA0-B2D9-6D83451D4BB5}"/>
            </c:ext>
          </c:extLst>
        </c:ser>
        <c:dLbls>
          <c:dLblPos val="outEnd"/>
          <c:showLegendKey val="0"/>
          <c:showVal val="1"/>
          <c:showCatName val="0"/>
          <c:showSerName val="0"/>
          <c:showPercent val="0"/>
          <c:showBubbleSize val="0"/>
        </c:dLbls>
        <c:gapWidth val="219"/>
        <c:overlap val="-27"/>
        <c:axId val="1808583616"/>
        <c:axId val="1827510944"/>
      </c:barChart>
      <c:catAx>
        <c:axId val="18085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10944"/>
        <c:crosses val="autoZero"/>
        <c:auto val="1"/>
        <c:lblAlgn val="ctr"/>
        <c:lblOffset val="100"/>
        <c:noMultiLvlLbl val="0"/>
      </c:catAx>
      <c:valAx>
        <c:axId val="1827510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8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[Fatura_Takip_Dashboard.xlsxs.xlsx]Pivot_Musteri!PivotTable1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Müşteri</a:t>
            </a:r>
            <a:r>
              <a:rPr lang="en-US" baseline="0"/>
              <a:t> Bazında Ödeme Durumu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Pivot_Musteri!$B$3:$B$4</c:f>
              <c:strCache>
                <c:ptCount val="1"/>
                <c:pt idx="0">
                  <c:v>Bekliyor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Pivot_Musteri!$A$5:$A$9</c:f>
              <c:strCache>
                <c:ptCount val="4"/>
                <c:pt idx="0">
                  <c:v>Deniz AŞ</c:v>
                </c:pt>
                <c:pt idx="1">
                  <c:v>Eksen Ltd</c:v>
                </c:pt>
                <c:pt idx="2">
                  <c:v>Mavi AŞ</c:v>
                </c:pt>
                <c:pt idx="3">
                  <c:v>Nova Ltd</c:v>
                </c:pt>
              </c:strCache>
            </c:strRef>
          </c:cat>
          <c:val>
            <c:numRef>
              <c:f>Pivot_Musteri!$B$5:$B$9</c:f>
              <c:numCache>
                <c:formatCode>"₺"#,##0.00</c:formatCode>
                <c:ptCount val="4"/>
                <c:pt idx="0">
                  <c:v>9000</c:v>
                </c:pt>
                <c:pt idx="1">
                  <c:v>5000</c:v>
                </c:pt>
                <c:pt idx="2">
                  <c:v>9000</c:v>
                </c:pt>
                <c:pt idx="3">
                  <c:v>4000</c:v>
                </c:pt>
              </c:numCache>
            </c:numRef>
          </c:val>
          <c:extLst>
            <c:ext xmlns:c16="http://schemas.microsoft.com/office/drawing/2014/chart" uri="{C3380CC4-5D6E-409C-BE32-E72D297353CC}">
              <c16:uniqueId val="{00000000-1F11-446C-B797-EA18EC493640}"/>
            </c:ext>
          </c:extLst>
        </c:ser>
        <c:dLbls>
          <c:dLblPos val="outEnd"/>
          <c:showLegendKey val="0"/>
          <c:showVal val="1"/>
          <c:showCatName val="0"/>
          <c:showSerName val="0"/>
          <c:showPercent val="0"/>
          <c:showBubbleSize val="0"/>
        </c:dLbls>
        <c:gapWidth val="219"/>
        <c:overlap val="-27"/>
        <c:axId val="1553563439"/>
        <c:axId val="1234232191"/>
      </c:barChart>
      <c:catAx>
        <c:axId val="1553563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232191"/>
        <c:crosses val="autoZero"/>
        <c:auto val="1"/>
        <c:lblAlgn val="ctr"/>
        <c:lblOffset val="100"/>
        <c:noMultiLvlLbl val="0"/>
      </c:catAx>
      <c:valAx>
        <c:axId val="1234232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5634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[Fatura_Takip_Dashboard.xlsxs.xlsx]Pivot_Kategori!PivotTable2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Kategori</a:t>
            </a:r>
            <a:r>
              <a:rPr lang="en-US" baseline="0"/>
              <a:t> Bazında Ödeme Durumu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Pivot_Kategori!$B$3:$B$4</c:f>
              <c:strCache>
                <c:ptCount val="1"/>
                <c:pt idx="0">
                  <c:v>Bekliyor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Pivot_Kategori!$A$5:$A$9</c:f>
              <c:strCache>
                <c:ptCount val="4"/>
                <c:pt idx="0">
                  <c:v>Bakım</c:v>
                </c:pt>
                <c:pt idx="1">
                  <c:v>Danışmanlık</c:v>
                </c:pt>
                <c:pt idx="2">
                  <c:v>Lojistik</c:v>
                </c:pt>
                <c:pt idx="3">
                  <c:v>Yazılım</c:v>
                </c:pt>
              </c:strCache>
            </c:strRef>
          </c:cat>
          <c:val>
            <c:numRef>
              <c:f>Pivot_Kategori!$B$5:$B$9</c:f>
              <c:numCache>
                <c:formatCode>"₺"#,##0.00</c:formatCode>
                <c:ptCount val="4"/>
                <c:pt idx="0">
                  <c:v>5000</c:v>
                </c:pt>
                <c:pt idx="1">
                  <c:v>9000</c:v>
                </c:pt>
                <c:pt idx="2">
                  <c:v>4000</c:v>
                </c:pt>
                <c:pt idx="3">
                  <c:v>9000</c:v>
                </c:pt>
              </c:numCache>
            </c:numRef>
          </c:val>
          <c:extLst>
            <c:ext xmlns:c16="http://schemas.microsoft.com/office/drawing/2014/chart" uri="{C3380CC4-5D6E-409C-BE32-E72D297353CC}">
              <c16:uniqueId val="{00000000-5B87-4B38-AD50-D60A53ACA632}"/>
            </c:ext>
          </c:extLst>
        </c:ser>
        <c:dLbls>
          <c:dLblPos val="outEnd"/>
          <c:showLegendKey val="0"/>
          <c:showVal val="1"/>
          <c:showCatName val="0"/>
          <c:showSerName val="0"/>
          <c:showPercent val="0"/>
          <c:showBubbleSize val="0"/>
        </c:dLbls>
        <c:gapWidth val="219"/>
        <c:overlap val="-27"/>
        <c:axId val="1808583616"/>
        <c:axId val="1827510944"/>
      </c:barChart>
      <c:catAx>
        <c:axId val="18085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10944"/>
        <c:crosses val="autoZero"/>
        <c:auto val="1"/>
        <c:lblAlgn val="ctr"/>
        <c:lblOffset val="100"/>
        <c:noMultiLvlLbl val="0"/>
      </c:catAx>
      <c:valAx>
        <c:axId val="1827510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8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152400</xdr:colOff>
      <xdr:row>1</xdr:row>
      <xdr:rowOff>147637</xdr:rowOff>
    </xdr:from>
    <xdr:to>
      <xdr:col>10</xdr:col>
      <xdr:colOff>304800</xdr:colOff>
      <xdr:row>10</xdr:row>
      <xdr:rowOff>85725</xdr:rowOff>
    </xdr:to>
    <xdr:graphicFrame macro="">
      <xdr:nvGraphicFramePr>
        <xdr:cNvPr id="2" name="Chart 1">
          <a:extLst>
            <a:ext uri="{FF2B5EF4-FFF2-40B4-BE49-F238E27FC236}">
              <a16:creationId xmlns:a16="http://schemas.microsoft.com/office/drawing/2014/main" id="{58222405-6D6E-7019-8010-C610E7FA7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47626</xdr:colOff>
      <xdr:row>2</xdr:row>
      <xdr:rowOff>4762</xdr:rowOff>
    </xdr:from>
    <xdr:to>
      <xdr:col>10</xdr:col>
      <xdr:colOff>104776</xdr:colOff>
      <xdr:row>10</xdr:row>
      <xdr:rowOff>152399</xdr:rowOff>
    </xdr:to>
    <xdr:graphicFrame macro="">
      <xdr:nvGraphicFramePr>
        <xdr:cNvPr id="2" name="Chart 1">
          <a:extLst>
            <a:ext uri="{FF2B5EF4-FFF2-40B4-BE49-F238E27FC236}">
              <a16:creationId xmlns:a16="http://schemas.microsoft.com/office/drawing/2014/main" id="{DA472C9F-C807-E4D9-AE0D-9EAE4AC59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923925</xdr:colOff>
      <xdr:row>16</xdr:row>
      <xdr:rowOff>128588</xdr:rowOff>
    </xdr:to>
    <xdr:graphicFrame macro="">
      <xdr:nvGraphicFramePr>
        <xdr:cNvPr id="2" name="Chart 1">
          <a:extLst>
            <a:ext uri="{FF2B5EF4-FFF2-40B4-BE49-F238E27FC236}">
              <a16:creationId xmlns:a16="http://schemas.microsoft.com/office/drawing/2014/main" id="{2ED59ED1-F9D2-4CCA-83FF-033928AAE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8</xdr:row>
      <xdr:rowOff>0</xdr:rowOff>
    </xdr:from>
    <xdr:to>
      <xdr:col>6</xdr:col>
      <xdr:colOff>304800</xdr:colOff>
      <xdr:row>16</xdr:row>
      <xdr:rowOff>147637</xdr:rowOff>
    </xdr:to>
    <xdr:graphicFrame macro="">
      <xdr:nvGraphicFramePr>
        <xdr:cNvPr id="3" name="Chart 2">
          <a:extLst>
            <a:ext uri="{FF2B5EF4-FFF2-40B4-BE49-F238E27FC236}">
              <a16:creationId xmlns:a16="http://schemas.microsoft.com/office/drawing/2014/main" id="{FFB217CE-D6EA-422B-83CA-ACB8AE6CB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342900</xdr:colOff>
      <xdr:row>2</xdr:row>
      <xdr:rowOff>133350</xdr:rowOff>
    </xdr:from>
    <xdr:to>
      <xdr:col>6</xdr:col>
      <xdr:colOff>104775</xdr:colOff>
      <xdr:row>7</xdr:row>
      <xdr:rowOff>47625</xdr:rowOff>
    </xdr:to>
    <mc:AlternateContent xmlns:mc="http://schemas.openxmlformats.org/markup-compatibility/2006" xmlns:a14="http://schemas.microsoft.com/office/drawing/2010/main">
      <mc:Choice Requires="a14">
        <xdr:graphicFrame macro="">
          <xdr:nvGraphicFramePr>
            <xdr:cNvPr id="4" name="Odeme_Durumu">
              <a:extLst>
                <a:ext uri="{FF2B5EF4-FFF2-40B4-BE49-F238E27FC236}">
                  <a16:creationId xmlns:a16="http://schemas.microsoft.com/office/drawing/2014/main" id="{6FFB8BFF-7ED7-4EDE-8B7A-CBB7FBF25763}"/>
                </a:ext>
              </a:extLst>
            </xdr:cNvPr>
            <xdr:cNvGraphicFramePr/>
          </xdr:nvGraphicFramePr>
          <xdr:xfrm>
            <a:off x="0" y="0"/>
            <a:ext cx="0" cy="0"/>
          </xdr:xfrm>
          <a:graphic>
            <a:graphicData uri="http://schemas.microsoft.com/office/drawing/2010/slicer">
              <sle:slicer xmlns:sle="http://schemas.microsoft.com/office/drawing/2010/slicer" name="Odeme_Durumu"/>
            </a:graphicData>
          </a:graphic>
        </xdr:graphicFrame>
      </mc:Choice>
      <mc:Fallback xmlns="">
        <xdr:sp macro="" textlink="">
          <xdr:nvSpPr>
            <xdr:cNvPr id="0" name=""/>
            <xdr:cNvSpPr>
              <a:spLocks noTextEdit="1"/>
            </xdr:cNvSpPr>
          </xdr:nvSpPr>
          <xdr:spPr>
            <a:xfrm>
              <a:off x="6067425" y="628650"/>
              <a:ext cx="17716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rvet" refreshedDate="46269.387037152781" createdVersion="8" refreshedVersion="8" minRefreshableVersion="3" recordCount="6" xr:uid="{21500CC2-CDAE-457A-B4EB-B0B222899A3D}">
  <cacheSource type="worksheet">
    <worksheetSource name="Table1"/>
  </cacheSource>
  <cacheFields count="11">
    <cacheField name="Fatura_ID" numFmtId="0">
      <sharedItems/>
    </cacheField>
    <cacheField name="Fatura_Tarihi" numFmtId="0">
      <sharedItems/>
    </cacheField>
    <cacheField name="Müşteri" numFmtId="0">
      <sharedItems count="5">
        <s v="Atlas Ltd"/>
        <s v="Mavi AŞ"/>
        <s v="Nova Ltd"/>
        <s v="Deniz AŞ"/>
        <s v="Eksen Ltd"/>
      </sharedItems>
    </cacheField>
    <cacheField name="Kategori" numFmtId="0">
      <sharedItems count="5">
        <s v="Ofis"/>
        <s v="Yazılım"/>
        <s v="Lojistik"/>
        <s v="Danışmanlık"/>
        <s v="Bakım"/>
      </sharedItems>
    </cacheField>
    <cacheField name="Adet" numFmtId="0">
      <sharedItems containsSemiMixedTypes="0" containsString="0" containsNumber="1" containsInteger="1" minValue="2" maxValue="20"/>
    </cacheField>
    <cacheField name="Birim_Fiyat" numFmtId="164">
      <sharedItems containsSemiMixedTypes="0" containsString="0" containsNumber="1" containsInteger="1" minValue="150" maxValue="4500"/>
    </cacheField>
    <cacheField name="Toplam_Tutar" numFmtId="164">
      <sharedItems containsSemiMixedTypes="0" containsString="0" containsNumber="1" containsInteger="1" minValue="2500" maxValue="9000"/>
    </cacheField>
    <cacheField name="Son_Odeme_Tarihi" numFmtId="14">
      <sharedItems containsSemiMixedTypes="0" containsNonDate="0" containsDate="1" containsString="0" minDate="2026-08-30T00:00:00" maxDate="2026-09-11T00:00:00"/>
    </cacheField>
    <cacheField name="Odeme_Durumu" numFmtId="0">
      <sharedItems count="2">
        <s v="Ödendi"/>
        <s v="Bekliyor"/>
      </sharedItems>
    </cacheField>
    <cacheField name="Şehir" numFmtId="0">
      <sharedItems/>
    </cacheField>
    <cacheField name="Takip_Durumu" numFmtId="0">
      <sharedItems/>
    </cacheField>
  </cacheFields>
  <extLst>
    <ext xmlns:x14="http://schemas.microsoft.com/office/spreadsheetml/2009/9/main" uri="{725AE2AE-9491-48be-B2B4-4EB974FC3084}">
      <x14:pivotCacheDefinition pivotCacheId="988389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s v="INV-1001"/>
    <s v="20.08.2026"/>
    <x v="0"/>
    <x v="0"/>
    <n v="10"/>
    <n v="250"/>
    <n v="2500"/>
    <d v="2026-08-30T00:00:00"/>
    <x v="0"/>
    <s v="İstanbul"/>
    <s v="Kapandı"/>
  </r>
  <r>
    <s v="INV-1002"/>
    <s v="22.08.2026"/>
    <x v="1"/>
    <x v="1"/>
    <n v="2"/>
    <n v="4500"/>
    <n v="9000"/>
    <d v="2026-09-01T00:00:00"/>
    <x v="1"/>
    <s v="Ankara"/>
    <s v="Gecikmiş"/>
  </r>
  <r>
    <s v="INV-1003"/>
    <s v="24.08.2026"/>
    <x v="2"/>
    <x v="2"/>
    <n v="5"/>
    <n v="800"/>
    <n v="4000"/>
    <d v="2026-09-05T00:00:00"/>
    <x v="1"/>
    <s v="İzmir"/>
    <s v="Bekliyor"/>
  </r>
  <r>
    <s v="INV-1004"/>
    <s v="25.08.2026"/>
    <x v="3"/>
    <x v="3"/>
    <n v="3"/>
    <n v="3000"/>
    <n v="9000"/>
    <d v="2026-08-31T00:00:00"/>
    <x v="1"/>
    <s v="Bursa"/>
    <s v="Gecikmiş"/>
  </r>
  <r>
    <s v="INV-1005"/>
    <s v="27.08.2026"/>
    <x v="0"/>
    <x v="0"/>
    <n v="20"/>
    <n v="150"/>
    <n v="3000"/>
    <d v="2026-09-10T00:00:00"/>
    <x v="0"/>
    <s v="İstanbul"/>
    <s v="Kapandı"/>
  </r>
  <r>
    <s v="INV-1006"/>
    <s v="28.08.2026"/>
    <x v="4"/>
    <x v="4"/>
    <n v="4"/>
    <n v="1250"/>
    <n v="5000"/>
    <d v="2026-09-02T00:00:00"/>
    <x v="1"/>
    <s v="İstanbul"/>
    <s v="Gecikmiş"/>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5D98E7-0CBC-4447-AC58-35B7EEED06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1" firstDataRow="2" firstDataCol="1"/>
  <pivotFields count="11">
    <pivotField showAll="0"/>
    <pivotField showAll="0"/>
    <pivotField axis="axisRow" showAll="0">
      <items count="6">
        <item x="0"/>
        <item x="3"/>
        <item x="4"/>
        <item x="1"/>
        <item x="2"/>
        <item t="default"/>
      </items>
    </pivotField>
    <pivotField showAll="0"/>
    <pivotField showAll="0"/>
    <pivotField numFmtId="164" showAll="0"/>
    <pivotField dataField="1" numFmtId="164" showAll="0"/>
    <pivotField numFmtId="14" showAll="0"/>
    <pivotField axis="axisCol" showAll="0">
      <items count="3">
        <item x="1"/>
        <item h="1" x="0"/>
        <item t="default"/>
      </items>
    </pivotField>
    <pivotField showAll="0"/>
    <pivotField showAll="0"/>
  </pivotFields>
  <rowFields count="1">
    <field x="2"/>
  </rowFields>
  <rowItems count="5">
    <i>
      <x v="1"/>
    </i>
    <i>
      <x v="2"/>
    </i>
    <i>
      <x v="3"/>
    </i>
    <i>
      <x v="4"/>
    </i>
    <i t="grand">
      <x/>
    </i>
  </rowItems>
  <colFields count="1">
    <field x="8"/>
  </colFields>
  <colItems count="2">
    <i>
      <x/>
    </i>
    <i t="grand">
      <x/>
    </i>
  </colItems>
  <dataFields count="1">
    <dataField name="Sum of Toplam_Tutar" fld="6" baseField="2" baseItem="3" numFmtId="164"/>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4" format="4" series="1">
      <pivotArea type="data" outline="0" fieldPosition="0">
        <references count="2">
          <reference field="4294967294" count="1" selected="0">
            <x v="0"/>
          </reference>
          <reference field="8" count="1" selected="0">
            <x v="0"/>
          </reference>
        </references>
      </pivotArea>
    </chartFormat>
    <chartFormat chart="4"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A13F1C-0BA0-4601-84A6-C70A4415DD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1" firstDataRow="2" firstDataCol="1"/>
  <pivotFields count="11">
    <pivotField showAll="0"/>
    <pivotField showAll="0"/>
    <pivotField showAll="0"/>
    <pivotField axis="axisRow" showAll="0">
      <items count="6">
        <item x="4"/>
        <item x="3"/>
        <item x="2"/>
        <item x="0"/>
        <item x="1"/>
        <item t="default"/>
      </items>
    </pivotField>
    <pivotField showAll="0"/>
    <pivotField numFmtId="164" showAll="0"/>
    <pivotField dataField="1" numFmtId="164" showAll="0"/>
    <pivotField numFmtId="14" showAll="0"/>
    <pivotField axis="axisCol" showAll="0">
      <items count="3">
        <item x="1"/>
        <item h="1" x="0"/>
        <item t="default"/>
      </items>
    </pivotField>
    <pivotField showAll="0"/>
    <pivotField showAll="0"/>
  </pivotFields>
  <rowFields count="1">
    <field x="3"/>
  </rowFields>
  <rowItems count="5">
    <i>
      <x/>
    </i>
    <i>
      <x v="1"/>
    </i>
    <i>
      <x v="2"/>
    </i>
    <i>
      <x v="4"/>
    </i>
    <i t="grand">
      <x/>
    </i>
  </rowItems>
  <colFields count="1">
    <field x="8"/>
  </colFields>
  <colItems count="2">
    <i>
      <x/>
    </i>
    <i t="grand">
      <x/>
    </i>
  </colItems>
  <dataFields count="1">
    <dataField name="Sum of Toplam_Tutar" fld="6" baseField="0" baseItem="0" numFmtId="164"/>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0"/>
          </reference>
        </references>
      </pivotArea>
    </chartFormat>
    <chartFormat chart="2" format="3" series="1">
      <pivotArea type="data" outline="0" fieldPosition="0">
        <references count="2">
          <reference field="4294967294" count="1" selected="0">
            <x v="0"/>
          </reference>
          <reference field="8" count="1" selected="0">
            <x v="1"/>
          </reference>
        </references>
      </pivotArea>
    </chartFormat>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 chart="4" format="4" series="1">
      <pivotArea type="data" outline="0" fieldPosition="0">
        <references count="2">
          <reference field="4294967294" count="1" selected="0">
            <x v="0"/>
          </reference>
          <reference field="8" count="1" selected="0">
            <x v="0"/>
          </reference>
        </references>
      </pivotArea>
    </chartFormat>
    <chartFormat chart="4"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deme_Durumu" xr10:uid="{3BA71231-7D40-4898-83EB-AE124520B18F}" sourceName="Odeme_Durumu">
  <pivotTables>
    <pivotTable tabId="3" name="PivotTable1"/>
    <pivotTable tabId="4" name="PivotTable2"/>
  </pivotTables>
  <data>
    <tabular pivotCacheId="98838997">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deme_Durumu" xr10:uid="{A33516E2-B2C1-4F43-8C61-F4DAF007E50B}" cache="Slicer_Odeme_Durumu" caption="Odeme_Durumu"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5A281E-74B8-465E-B2D4-C12395EDC3C8}" name="Table1" displayName="Table1" ref="A1:K7" totalsRowShown="0">
  <autoFilter ref="A1:K7" xr:uid="{E55A281E-74B8-465E-B2D4-C12395EDC3C8}"/>
  <tableColumns count="11">
    <tableColumn id="1" xr3:uid="{FEC69922-90CF-4235-B322-AE10FD89D4DC}" name="Fatura_ID"/>
    <tableColumn id="2" xr3:uid="{4EFD3F56-04FC-41D7-8B11-486CDFBA7B9A}" name="Fatura_Tarihi"/>
    <tableColumn id="3" xr3:uid="{F9E75D92-D8AB-43F6-ACBB-06A7B92545A8}" name="Müşteri"/>
    <tableColumn id="4" xr3:uid="{1C81B489-E8E0-41EA-BE91-EDBF8E419F97}" name="Kategori"/>
    <tableColumn id="5" xr3:uid="{2D26BD77-B654-45A4-92F2-E66E95CDA8B3}" name="Adet"/>
    <tableColumn id="6" xr3:uid="{99C24929-ADCA-4B34-9BD7-319328C8C2E8}" name="Birim_Fiyat" dataDxfId="14" totalsRowDxfId="13"/>
    <tableColumn id="7" xr3:uid="{727A5B9A-8BC9-44EA-9D1B-C0592764B997}" name="Toplam_Tutar" dataDxfId="12" totalsRowDxfId="11">
      <calculatedColumnFormula>E2*F2</calculatedColumnFormula>
    </tableColumn>
    <tableColumn id="8" xr3:uid="{18DDE837-937E-4ED2-A523-FB371F369883}" name="Son_Odeme_Tarihi"/>
    <tableColumn id="9" xr3:uid="{D0A9DC05-6E5C-4D05-B0C5-EADD4653BA41}" name="Odeme_Durumu"/>
    <tableColumn id="10" xr3:uid="{F4B0782C-F86C-4C38-96CE-031F3170998A}" name="Şehir" dataDxfId="10">
      <calculatedColumnFormula>VLOOKUP(C2,Müşteri_Bilgileri!$A$2:$C$6,2,FALSE)</calculatedColumnFormula>
    </tableColumn>
    <tableColumn id="11" xr3:uid="{048C0775-F71A-461F-B5FF-0CD8A47A9986}" name="Takip_Durumu" dataDxfId="9">
      <calculatedColumnFormula>IF(I2="Ödendi","Kapandı",IF(H2&lt;TODAY(),"Gecikmiş","Bekliyor"))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13D8B5-ACFD-4CF9-9CB9-C01920153747}" name="Table2" displayName="Table2" ref="A1:C6" totalsRowShown="0" headerRowDxfId="8">
  <autoFilter ref="A1:C6" xr:uid="{BC13D8B5-ACFD-4CF9-9CB9-C01920153747}"/>
  <tableColumns count="3">
    <tableColumn id="1" xr3:uid="{7F815D6A-FAF0-44DA-9679-76935AA39EED}" name="Müşteri" dataDxfId="7"/>
    <tableColumn id="2" xr3:uid="{04ED4C38-0D0C-4D77-B751-87907387552E}" name="Şehir" dataDxfId="6"/>
    <tableColumn id="3" xr3:uid="{DB30D626-667C-40BE-80B6-C880A45CED39}" name="Vade_Günü"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04930-1677-4DC6-A177-F34F1415CA21}">
  <dimension ref="A3:C9"/>
  <sheetViews>
    <sheetView showGridLines="0" workbookViewId="0">
      <selection activeCell="C6" sqref="C6"/>
    </sheetView>
  </sheetViews>
  <sheetFormatPr defaultRowHeight="15" x14ac:dyDescent="0.25"/>
  <cols>
    <col min="1" max="1" width="20" bestFit="1" customWidth="1"/>
    <col min="2" max="2" width="16.85546875" bestFit="1" customWidth="1"/>
    <col min="3" max="4" width="11.28515625" bestFit="1" customWidth="1"/>
  </cols>
  <sheetData>
    <row r="3" spans="1:3" x14ac:dyDescent="0.25">
      <c r="A3" s="12" t="s">
        <v>50</v>
      </c>
      <c r="B3" s="12" t="s">
        <v>49</v>
      </c>
    </row>
    <row r="4" spans="1:3" x14ac:dyDescent="0.25">
      <c r="A4" s="12" t="s">
        <v>47</v>
      </c>
      <c r="B4" t="s">
        <v>15</v>
      </c>
      <c r="C4" t="s">
        <v>48</v>
      </c>
    </row>
    <row r="5" spans="1:3" x14ac:dyDescent="0.25">
      <c r="A5" s="13" t="s">
        <v>20</v>
      </c>
      <c r="B5" s="4">
        <v>9000</v>
      </c>
      <c r="C5" s="4">
        <v>9000</v>
      </c>
    </row>
    <row r="6" spans="1:3" x14ac:dyDescent="0.25">
      <c r="A6" s="13" t="s">
        <v>24</v>
      </c>
      <c r="B6" s="4">
        <v>5000</v>
      </c>
      <c r="C6" s="4">
        <v>5000</v>
      </c>
    </row>
    <row r="7" spans="1:3" x14ac:dyDescent="0.25">
      <c r="A7" s="13" t="s">
        <v>13</v>
      </c>
      <c r="B7" s="4">
        <v>9000</v>
      </c>
      <c r="C7" s="4">
        <v>9000</v>
      </c>
    </row>
    <row r="8" spans="1:3" x14ac:dyDescent="0.25">
      <c r="A8" s="13" t="s">
        <v>17</v>
      </c>
      <c r="B8" s="4">
        <v>4000</v>
      </c>
      <c r="C8" s="4">
        <v>4000</v>
      </c>
    </row>
    <row r="9" spans="1:3" x14ac:dyDescent="0.25">
      <c r="A9" s="13" t="s">
        <v>48</v>
      </c>
      <c r="B9" s="4">
        <v>27000</v>
      </c>
      <c r="C9" s="4">
        <v>27000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DBCC-BFCE-4BE9-B696-C7FC25F78A90}">
  <dimension ref="A3:C9"/>
  <sheetViews>
    <sheetView workbookViewId="0">
      <selection activeCell="B7" sqref="B7"/>
    </sheetView>
  </sheetViews>
  <sheetFormatPr defaultRowHeight="15" x14ac:dyDescent="0.25"/>
  <cols>
    <col min="1" max="1" width="20" bestFit="1" customWidth="1"/>
    <col min="2" max="2" width="16.85546875" bestFit="1" customWidth="1"/>
    <col min="3" max="4" width="11.28515625" bestFit="1" customWidth="1"/>
  </cols>
  <sheetData>
    <row r="3" spans="1:3" x14ac:dyDescent="0.25">
      <c r="A3" s="12" t="s">
        <v>50</v>
      </c>
      <c r="B3" s="12" t="s">
        <v>49</v>
      </c>
    </row>
    <row r="4" spans="1:3" x14ac:dyDescent="0.25">
      <c r="A4" s="12" t="s">
        <v>47</v>
      </c>
      <c r="B4" t="s">
        <v>15</v>
      </c>
      <c r="C4" t="s">
        <v>48</v>
      </c>
    </row>
    <row r="5" spans="1:3" x14ac:dyDescent="0.25">
      <c r="A5" s="13" t="s">
        <v>25</v>
      </c>
      <c r="B5" s="4">
        <v>5000</v>
      </c>
      <c r="C5" s="4">
        <v>5000</v>
      </c>
    </row>
    <row r="6" spans="1:3" x14ac:dyDescent="0.25">
      <c r="A6" s="13" t="s">
        <v>21</v>
      </c>
      <c r="B6" s="4">
        <v>9000</v>
      </c>
      <c r="C6" s="4">
        <v>9000</v>
      </c>
    </row>
    <row r="7" spans="1:3" x14ac:dyDescent="0.25">
      <c r="A7" s="13" t="s">
        <v>18</v>
      </c>
      <c r="B7" s="4">
        <v>4000</v>
      </c>
      <c r="C7" s="4">
        <v>4000</v>
      </c>
    </row>
    <row r="8" spans="1:3" x14ac:dyDescent="0.25">
      <c r="A8" s="13" t="s">
        <v>14</v>
      </c>
      <c r="B8" s="4">
        <v>9000</v>
      </c>
      <c r="C8" s="4">
        <v>9000</v>
      </c>
    </row>
    <row r="9" spans="1:3" x14ac:dyDescent="0.25">
      <c r="A9" s="13" t="s">
        <v>48</v>
      </c>
      <c r="B9" s="4">
        <v>27000</v>
      </c>
      <c r="C9" s="4">
        <v>27000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9A331-C198-413B-ADD0-A129AD5582EF}">
  <dimension ref="A1:H7"/>
  <sheetViews>
    <sheetView showGridLines="0" tabSelected="1" workbookViewId="0">
      <selection activeCell="I8" sqref="I8"/>
    </sheetView>
  </sheetViews>
  <sheetFormatPr defaultRowHeight="15" x14ac:dyDescent="0.25"/>
  <cols>
    <col min="1" max="1" width="23.85546875" bestFit="1" customWidth="1"/>
    <col min="2" max="2" width="19.42578125" bestFit="1" customWidth="1"/>
    <col min="3" max="3" width="21.5703125" bestFit="1" customWidth="1"/>
    <col min="4" max="5" width="21" bestFit="1" customWidth="1"/>
  </cols>
  <sheetData>
    <row r="1" spans="1:8" ht="24" customHeight="1" x14ac:dyDescent="0.25">
      <c r="A1" s="17" t="s">
        <v>51</v>
      </c>
      <c r="B1" s="17"/>
      <c r="C1" s="17"/>
      <c r="D1" s="17"/>
      <c r="E1" s="17"/>
      <c r="F1" s="17"/>
      <c r="G1" s="17"/>
      <c r="H1" s="17"/>
    </row>
    <row r="2" spans="1:8" x14ac:dyDescent="0.25">
      <c r="A2" s="17"/>
      <c r="B2" s="17"/>
      <c r="C2" s="17"/>
      <c r="D2" s="17"/>
      <c r="E2" s="17"/>
      <c r="F2" s="17"/>
      <c r="G2" s="17"/>
      <c r="H2" s="17"/>
    </row>
    <row r="3" spans="1:8" ht="15.75" thickBot="1" x14ac:dyDescent="0.3"/>
    <row r="4" spans="1:8" x14ac:dyDescent="0.25">
      <c r="A4" s="5" t="s">
        <v>33</v>
      </c>
      <c r="B4" s="5" t="s">
        <v>37</v>
      </c>
      <c r="C4" s="5" t="s">
        <v>38</v>
      </c>
    </row>
    <row r="5" spans="1:8" ht="21.75" thickBot="1" x14ac:dyDescent="0.4">
      <c r="A5" s="14">
        <f>SUM(Table1[Toplam_Tutar])</f>
        <v>32500</v>
      </c>
      <c r="B5" s="15">
        <f ca="1">SUMIFS(Table1[Toplam_Tutar],Table1[Son_Odeme_Tarihi],"&lt;"&amp;TODAY(),Table1[Odeme_Durumu],"Bekliyor")</f>
        <v>23000</v>
      </c>
      <c r="C5" s="15">
        <f>AVERAGE(Table1[Toplam_Tutar])</f>
        <v>5416.666666666667</v>
      </c>
    </row>
    <row r="6" spans="1:8" x14ac:dyDescent="0.25">
      <c r="A6" s="5" t="s">
        <v>34</v>
      </c>
      <c r="B6" s="5" t="s">
        <v>35</v>
      </c>
      <c r="C6" s="5" t="s">
        <v>36</v>
      </c>
      <c r="D6" s="5" t="s">
        <v>39</v>
      </c>
    </row>
    <row r="7" spans="1:8" ht="21.75" thickBot="1" x14ac:dyDescent="0.4">
      <c r="A7" s="14">
        <f>SUMIF(Table1[Odeme_Durumu],"Ödendi",Table1[Toplam_Tutar])</f>
        <v>5500</v>
      </c>
      <c r="B7" s="15">
        <f>SUMIF(Table1[Odeme_Durumu],"Bekliyor",Table1[Toplam_Tutar])</f>
        <v>27000</v>
      </c>
      <c r="C7" s="16">
        <f ca="1">COUNTIFS(Table1[Son_Odeme_Tarihi],"&lt;"&amp;TODAY(),Table1[Odeme_Durumu],"Bekliyor")</f>
        <v>3</v>
      </c>
      <c r="D7" s="11">
        <f>IFERROR(SUMIF(Table1[Odeme_Durumu],"Ödendi",Table1[Toplam_Tutar])/SUM(Table1[Toplam_Tutar]),0)</f>
        <v>0.16923076923076924</v>
      </c>
    </row>
  </sheetData>
  <mergeCells count="1">
    <mergeCell ref="A1: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C575-E7A5-48DB-A715-82261278439D}">
  <dimension ref="A1:P7"/>
  <sheetViews>
    <sheetView topLeftCell="E15" workbookViewId="0">
      <selection activeCell="M30" sqref="L30:M32"/>
    </sheetView>
  </sheetViews>
  <sheetFormatPr defaultRowHeight="15" x14ac:dyDescent="0.25"/>
  <cols>
    <col min="1" max="1" width="11.7109375" bestFit="1" customWidth="1"/>
    <col min="2" max="2" width="14.7109375" bestFit="1" customWidth="1"/>
    <col min="3" max="3" width="10.140625" bestFit="1" customWidth="1"/>
    <col min="4" max="4" width="12.28515625" bestFit="1" customWidth="1"/>
    <col min="5" max="5" width="7.42578125" bestFit="1" customWidth="1"/>
    <col min="6" max="6" width="13" customWidth="1"/>
    <col min="7" max="7" width="15.42578125" bestFit="1" customWidth="1"/>
    <col min="8" max="8" width="20.28515625" bestFit="1" customWidth="1"/>
    <col min="9" max="9" width="18.140625" bestFit="1" customWidth="1"/>
    <col min="12" max="12" width="19.7109375" bestFit="1" customWidth="1"/>
    <col min="13" max="13" width="15.42578125" bestFit="1" customWidth="1"/>
    <col min="14" max="14" width="21.140625" bestFit="1" customWidth="1"/>
    <col min="16" max="16" width="21.5703125" bestFit="1" customWidth="1"/>
  </cols>
  <sheetData>
    <row r="1" spans="1:16" x14ac:dyDescent="0.25">
      <c r="A1" t="s">
        <v>0</v>
      </c>
      <c r="B1" t="s">
        <v>1</v>
      </c>
      <c r="C1" t="s">
        <v>2</v>
      </c>
      <c r="D1" t="s">
        <v>3</v>
      </c>
      <c r="E1" t="s">
        <v>4</v>
      </c>
      <c r="F1" t="s">
        <v>5</v>
      </c>
      <c r="G1" t="s">
        <v>6</v>
      </c>
      <c r="H1" t="s">
        <v>7</v>
      </c>
      <c r="I1" t="s">
        <v>8</v>
      </c>
      <c r="J1" t="s">
        <v>40</v>
      </c>
      <c r="K1" t="s">
        <v>46</v>
      </c>
      <c r="L1" s="5" t="s">
        <v>33</v>
      </c>
      <c r="N1" s="5" t="s">
        <v>37</v>
      </c>
      <c r="P1" s="5" t="s">
        <v>38</v>
      </c>
    </row>
    <row r="2" spans="1:16" ht="21.75" thickBot="1" x14ac:dyDescent="0.4">
      <c r="A2" t="s">
        <v>26</v>
      </c>
      <c r="B2" t="s">
        <v>27</v>
      </c>
      <c r="C2" t="s">
        <v>9</v>
      </c>
      <c r="D2" t="s">
        <v>10</v>
      </c>
      <c r="E2">
        <v>10</v>
      </c>
      <c r="F2" s="4">
        <v>250</v>
      </c>
      <c r="G2" s="4">
        <f t="shared" ref="G2:G7" si="0">E2*F2</f>
        <v>2500</v>
      </c>
      <c r="H2" s="2">
        <v>46264</v>
      </c>
      <c r="I2" t="s">
        <v>11</v>
      </c>
      <c r="J2" t="str">
        <f>VLOOKUP(C2,Müşteri_Bilgileri!$A$2:$C$6,2,FALSE)</f>
        <v>İstanbul</v>
      </c>
      <c r="K2" t="str">
        <f t="shared" ref="K2:K7" ca="1" si="1">IF(I2="Ödendi","Kapandı",IF(H2&lt;TODAY(),"Gecikmiş","Bekliyor"))</f>
        <v>Kapandı</v>
      </c>
      <c r="L2" s="6">
        <f>SUM(Table1[Toplam_Tutar])</f>
        <v>32500</v>
      </c>
      <c r="N2" s="7">
        <f ca="1">SUMIFS(G2:G7,H2:H7,"&lt;"&amp;TODAY(),I2:I7,"Bekliyor")</f>
        <v>23000</v>
      </c>
      <c r="P2" s="7">
        <f>AVERAGE(Table1[Toplam_Tutar])</f>
        <v>5416.666666666667</v>
      </c>
    </row>
    <row r="3" spans="1:16" ht="15.75" thickBot="1" x14ac:dyDescent="0.3">
      <c r="A3" t="s">
        <v>12</v>
      </c>
      <c r="B3" t="s">
        <v>28</v>
      </c>
      <c r="C3" t="s">
        <v>13</v>
      </c>
      <c r="D3" t="s">
        <v>14</v>
      </c>
      <c r="E3">
        <v>2</v>
      </c>
      <c r="F3" s="4">
        <v>4500</v>
      </c>
      <c r="G3" s="4">
        <f t="shared" si="0"/>
        <v>9000</v>
      </c>
      <c r="H3" s="2">
        <v>46266</v>
      </c>
      <c r="I3" t="s">
        <v>15</v>
      </c>
      <c r="J3" t="str">
        <f>VLOOKUP(C3,Müşteri_Bilgileri!$A$2:$C$6,2,FALSE)</f>
        <v>Ankara</v>
      </c>
      <c r="K3" t="str">
        <f t="shared" ca="1" si="1"/>
        <v>Gecikmiş</v>
      </c>
    </row>
    <row r="4" spans="1:16" x14ac:dyDescent="0.25">
      <c r="A4" t="s">
        <v>16</v>
      </c>
      <c r="B4" t="s">
        <v>29</v>
      </c>
      <c r="C4" t="s">
        <v>17</v>
      </c>
      <c r="D4" t="s">
        <v>18</v>
      </c>
      <c r="E4">
        <v>5</v>
      </c>
      <c r="F4" s="4">
        <v>800</v>
      </c>
      <c r="G4" s="4">
        <f t="shared" si="0"/>
        <v>4000</v>
      </c>
      <c r="H4" s="2">
        <v>46270</v>
      </c>
      <c r="I4" t="s">
        <v>15</v>
      </c>
      <c r="J4" t="str">
        <f>VLOOKUP(C4,Müşteri_Bilgileri!$A$2:$C$6,2,FALSE)</f>
        <v>İzmir</v>
      </c>
      <c r="K4" t="str">
        <f t="shared" ca="1" si="1"/>
        <v>Bekliyor</v>
      </c>
      <c r="L4" s="5" t="s">
        <v>34</v>
      </c>
      <c r="M4" s="5" t="s">
        <v>35</v>
      </c>
      <c r="N4" s="5" t="s">
        <v>36</v>
      </c>
      <c r="P4" s="5" t="s">
        <v>39</v>
      </c>
    </row>
    <row r="5" spans="1:16" ht="21.75" thickBot="1" x14ac:dyDescent="0.4">
      <c r="A5" t="s">
        <v>19</v>
      </c>
      <c r="B5" t="s">
        <v>30</v>
      </c>
      <c r="C5" t="s">
        <v>20</v>
      </c>
      <c r="D5" t="s">
        <v>21</v>
      </c>
      <c r="E5">
        <v>3</v>
      </c>
      <c r="F5" s="4">
        <v>3000</v>
      </c>
      <c r="G5" s="4">
        <f t="shared" si="0"/>
        <v>9000</v>
      </c>
      <c r="H5" s="2">
        <v>46265</v>
      </c>
      <c r="I5" t="s">
        <v>15</v>
      </c>
      <c r="J5" t="str">
        <f>VLOOKUP(C5,Müşteri_Bilgileri!$A$2:$C$6,2,FALSE)</f>
        <v>Bursa</v>
      </c>
      <c r="K5" t="str">
        <f t="shared" ca="1" si="1"/>
        <v>Gecikmiş</v>
      </c>
      <c r="L5" s="6">
        <f>SUMIFS(G2:G7,I2:I7,"Ödendi")</f>
        <v>5500</v>
      </c>
      <c r="M5" s="7">
        <f>SUMIFS(G2:G7,I2:I7,"Bekliyor")</f>
        <v>27000</v>
      </c>
      <c r="N5" s="8">
        <f ca="1">COUNTIFS(H2:H7,"&lt;"&amp;TODAY(),I2:I7,"Bekliyor")</f>
        <v>3</v>
      </c>
      <c r="P5" s="11">
        <f>SUMIFS(Table1[Toplam_Tutar],Table1[Odeme_Durumu],"Ödendi")/SUM(Table1[Toplam_Tutar])</f>
        <v>0.16923076923076924</v>
      </c>
    </row>
    <row r="6" spans="1:16" x14ac:dyDescent="0.25">
      <c r="A6" t="s">
        <v>22</v>
      </c>
      <c r="B6" t="s">
        <v>31</v>
      </c>
      <c r="C6" t="s">
        <v>9</v>
      </c>
      <c r="D6" t="s">
        <v>10</v>
      </c>
      <c r="E6">
        <v>20</v>
      </c>
      <c r="F6" s="4">
        <v>150</v>
      </c>
      <c r="G6" s="4">
        <f t="shared" si="0"/>
        <v>3000</v>
      </c>
      <c r="H6" s="2">
        <v>46275</v>
      </c>
      <c r="I6" t="s">
        <v>11</v>
      </c>
      <c r="J6" t="str">
        <f>VLOOKUP(C6,Müşteri_Bilgileri!$A$2:$C$6,2,FALSE)</f>
        <v>İstanbul</v>
      </c>
      <c r="K6" t="str">
        <f t="shared" ca="1" si="1"/>
        <v>Kapandı</v>
      </c>
    </row>
    <row r="7" spans="1:16" x14ac:dyDescent="0.25">
      <c r="A7" t="s">
        <v>23</v>
      </c>
      <c r="B7" t="s">
        <v>32</v>
      </c>
      <c r="C7" t="s">
        <v>24</v>
      </c>
      <c r="D7" t="s">
        <v>25</v>
      </c>
      <c r="E7">
        <v>4</v>
      </c>
      <c r="F7" s="4">
        <v>1250</v>
      </c>
      <c r="G7" s="4">
        <f t="shared" si="0"/>
        <v>5000</v>
      </c>
      <c r="H7" s="2">
        <v>46267</v>
      </c>
      <c r="I7" t="s">
        <v>15</v>
      </c>
      <c r="J7" t="str">
        <f>VLOOKUP(C7,Müşteri_Bilgileri!$A$2:$C$6,2,FALSE)</f>
        <v>İstanbul</v>
      </c>
      <c r="K7" t="str">
        <f t="shared" ca="1" si="1"/>
        <v>Gecikmiş</v>
      </c>
    </row>
  </sheetData>
  <conditionalFormatting sqref="K1:K1048576">
    <cfRule type="containsText" dxfId="4" priority="1" operator="containsText" text="Kapandı">
      <formula>NOT(ISERROR(SEARCH("Kapandı",K1)))</formula>
    </cfRule>
    <cfRule type="containsText" dxfId="3" priority="2" operator="containsText" text="Bekliyor">
      <formula>NOT(ISERROR(SEARCH("Bekliyor",K1)))</formula>
    </cfRule>
    <cfRule type="containsText" dxfId="2" priority="3" operator="containsText" text="Gecikmiş">
      <formula>NOT(ISERROR(SEARCH("Gecikmiş",K1)))</formula>
    </cfRule>
  </conditionalFormatting>
  <conditionalFormatting sqref="K2">
    <cfRule type="containsText" dxfId="1" priority="5" operator="containsText" text="Kapandı">
      <formula>NOT(ISERROR(SEARCH("Kapandı",K2)))</formula>
    </cfRule>
  </conditionalFormatting>
  <conditionalFormatting sqref="K3">
    <cfRule type="containsText" dxfId="0" priority="4" operator="containsText" text="Gecikmiş">
      <formula>NOT(ISERROR(SEARCH("Gecikmiş",K3)))</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36EF-64A7-4362-9BD2-E4228F5AA365}">
  <dimension ref="A1:J6"/>
  <sheetViews>
    <sheetView workbookViewId="0">
      <selection activeCell="H11" sqref="G11:H12"/>
    </sheetView>
  </sheetViews>
  <sheetFormatPr defaultRowHeight="15" x14ac:dyDescent="0.25"/>
  <cols>
    <col min="1" max="1" width="13.85546875" customWidth="1"/>
    <col min="2" max="2" width="11" customWidth="1"/>
    <col min="3" max="3" width="16.7109375" customWidth="1"/>
    <col min="9" max="9" width="7.85546875" customWidth="1"/>
  </cols>
  <sheetData>
    <row r="1" spans="1:10" x14ac:dyDescent="0.25">
      <c r="A1" s="3" t="s">
        <v>2</v>
      </c>
      <c r="B1" s="3" t="s">
        <v>40</v>
      </c>
      <c r="C1" s="3" t="s">
        <v>41</v>
      </c>
      <c r="J1" s="10"/>
    </row>
    <row r="2" spans="1:10" x14ac:dyDescent="0.25">
      <c r="A2" s="1" t="s">
        <v>9</v>
      </c>
      <c r="B2" s="1" t="s">
        <v>42</v>
      </c>
      <c r="C2" s="9">
        <v>30</v>
      </c>
    </row>
    <row r="3" spans="1:10" x14ac:dyDescent="0.25">
      <c r="A3" s="1" t="s">
        <v>13</v>
      </c>
      <c r="B3" s="1" t="s">
        <v>43</v>
      </c>
      <c r="C3" s="9">
        <v>15</v>
      </c>
    </row>
    <row r="4" spans="1:10" x14ac:dyDescent="0.25">
      <c r="A4" s="1" t="s">
        <v>17</v>
      </c>
      <c r="B4" s="1" t="s">
        <v>44</v>
      </c>
      <c r="C4" s="9">
        <v>30</v>
      </c>
    </row>
    <row r="5" spans="1:10" x14ac:dyDescent="0.25">
      <c r="A5" s="1" t="s">
        <v>20</v>
      </c>
      <c r="B5" s="1" t="s">
        <v>45</v>
      </c>
      <c r="C5" s="9">
        <v>20</v>
      </c>
    </row>
    <row r="6" spans="1:10" x14ac:dyDescent="0.25">
      <c r="A6" s="1" t="s">
        <v>24</v>
      </c>
      <c r="B6" s="1" t="s">
        <v>42</v>
      </c>
      <c r="C6" s="9">
        <v>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Pivot_Musteri</vt:lpstr>
      <vt:lpstr>Pivot_Kategori</vt:lpstr>
      <vt:lpstr>Fatura_Takip_Dashboard.xlsx</vt:lpstr>
      <vt:lpstr>Fatura_Takip</vt:lpstr>
      <vt:lpstr>Müşteri_Bilgileri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Servet Carık</dc:creator>
  <cp:lastModifiedBy>Servet Carık</cp:lastModifiedBy>
  <dcterms:created xsi:type="dcterms:W3CDTF">2026-09-02T07:27:24Z</dcterms:created>
  <dcterms:modified xsi:type="dcterms:W3CDTF">2026-09-04T14:11:09Z</dcterms:modified>
</cp:coreProperties>
</file>